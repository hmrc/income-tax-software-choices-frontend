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ralphs/Documents/temp/"/>
    </mc:Choice>
  </mc:AlternateContent>
  <xr:revisionPtr revIDLastSave="0" documentId="13_ncr:1_{94537645-549D-E247-B0FC-4DDC56E6E70F}" xr6:coauthVersionLast="47" xr6:coauthVersionMax="47" xr10:uidLastSave="{00000000-0000-0000-0000-000000000000}"/>
  <bookViews>
    <workbookView xWindow="540" yWindow="-26680" windowWidth="35520" windowHeight="24780" xr2:uid="{D4E70762-10A6-9A49-B803-7ADDAF07C6AE}"/>
  </bookViews>
  <sheets>
    <sheet name="Data" sheetId="1" r:id="rId1"/>
    <sheet name="Json Output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2" l="1"/>
  <c r="B39" i="2"/>
  <c r="A39" i="2"/>
  <c r="A38" i="2"/>
  <c r="A40" i="2"/>
  <c r="B40" i="2"/>
  <c r="C40" i="2" s="1"/>
  <c r="A26" i="2"/>
  <c r="B26" i="2"/>
  <c r="B2" i="2"/>
  <c r="B3" i="2"/>
  <c r="B4" i="2"/>
  <c r="B5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41" i="2"/>
  <c r="B42" i="2"/>
  <c r="B1" i="2"/>
  <c r="A1" i="2"/>
  <c r="A2" i="2"/>
  <c r="A3" i="2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7" i="2"/>
  <c r="A28" i="2"/>
  <c r="A29" i="2"/>
  <c r="A30" i="2"/>
  <c r="A31" i="2"/>
  <c r="A32" i="2"/>
  <c r="A33" i="2"/>
  <c r="A34" i="2"/>
  <c r="A35" i="2"/>
  <c r="A36" i="2"/>
  <c r="A37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C39" i="2" l="1"/>
  <c r="D3" i="2"/>
  <c r="D2" i="2"/>
  <c r="C23" i="2"/>
  <c r="C35" i="2"/>
  <c r="C16" i="2"/>
  <c r="C24" i="2"/>
  <c r="C36" i="2"/>
  <c r="C34" i="2"/>
  <c r="C37" i="2"/>
  <c r="C15" i="2"/>
  <c r="C38" i="2"/>
  <c r="C31" i="2"/>
  <c r="C18" i="2"/>
  <c r="C30" i="2"/>
  <c r="C33" i="2"/>
  <c r="C32" i="2"/>
  <c r="C19" i="2"/>
  <c r="C29" i="2"/>
  <c r="C28" i="2"/>
  <c r="C14" i="2"/>
  <c r="C26" i="2"/>
  <c r="C27" i="2"/>
  <c r="C10" i="2"/>
  <c r="C22" i="2"/>
  <c r="C21" i="2"/>
  <c r="C20" i="2"/>
  <c r="D5" i="2"/>
  <c r="D4" i="2"/>
  <c r="C13" i="2"/>
  <c r="C12" i="2"/>
  <c r="C11" i="2"/>
  <c r="C9" i="2"/>
  <c r="C17" i="2"/>
  <c r="D1" i="2"/>
  <c r="C25" i="2"/>
  <c r="C8" i="2"/>
  <c r="D7" i="2" l="1"/>
  <c r="F1" i="2" s="1"/>
</calcChain>
</file>

<file path=xl/sharedStrings.xml><?xml version="1.0" encoding="utf-8"?>
<sst xmlns="http://schemas.openxmlformats.org/spreadsheetml/2006/main" count="75" uniqueCount="75">
  <si>
    <t>name</t>
  </si>
  <si>
    <t>email</t>
  </si>
  <si>
    <t>phone</t>
  </si>
  <si>
    <t>website</t>
  </si>
  <si>
    <t>accessibilityStatementLink</t>
  </si>
  <si>
    <t>filters</t>
  </si>
  <si>
    <t>free-version</t>
  </si>
  <si>
    <t>sole-trader</t>
  </si>
  <si>
    <t>capital-gains-tax</t>
  </si>
  <si>
    <t>construction-industry-scheme</t>
  </si>
  <si>
    <t>employment</t>
  </si>
  <si>
    <t>marriage-allowance</t>
  </si>
  <si>
    <t>student-loans</t>
  </si>
  <si>
    <t>uk-dividends</t>
  </si>
  <si>
    <t>uk-interest</t>
  </si>
  <si>
    <t>uk-property</t>
  </si>
  <si>
    <t>overseas-property</t>
  </si>
  <si>
    <t>record-keeping</t>
  </si>
  <si>
    <t>bridging</t>
  </si>
  <si>
    <t>vat</t>
  </si>
  <si>
    <t>visual</t>
  </si>
  <si>
    <t>hearing</t>
  </si>
  <si>
    <t>motor</t>
  </si>
  <si>
    <t>cognitive</t>
  </si>
  <si>
    <t>quarterly-updates</t>
  </si>
  <si>
    <t>tax-return</t>
  </si>
  <si>
    <t>standard-update-periods</t>
  </si>
  <si>
    <t>calendar-update-periods</t>
  </si>
  <si>
    <t>charitable-giving</t>
  </si>
  <si>
    <t>high-income-child-benefit-charge</t>
  </si>
  <si>
    <t>voluntary-class-2-national-insurance</t>
  </si>
  <si>
    <t>state-pension-income</t>
  </si>
  <si>
    <t>private-pension-income</t>
  </si>
  <si>
    <t>payments-into-a-private-pension</t>
  </si>
  <si>
    <t>Name of product as you would like it to appear on Find Software Suitable for Making Tax Digital for Income Tax gov.uk webpage</t>
  </si>
  <si>
    <t>URL link to be used to direct customers to your website - preference is to a making Tax Digital for Income Tax specific page</t>
  </si>
  <si>
    <t>Please provide your company contact details as they should be displayed for customers</t>
  </si>
  <si>
    <t>Please provide your company email address as it should be displayed for customers</t>
  </si>
  <si>
    <t>Please insert link to your Accessibility Statement -if available on your website</t>
  </si>
  <si>
    <t>Does the vendor product include a Free Version?</t>
  </si>
  <si>
    <t>Does the vendor product support Quarterly Submissions?</t>
  </si>
  <si>
    <t>Does the vendor product support Self assessment tax return?</t>
  </si>
  <si>
    <t>Does the vendor product support Standard accounting periods - 6th April to 5th April?</t>
  </si>
  <si>
    <t>Does the vendor product support Calendar accounting periods - 1st April to 31st March?</t>
  </si>
  <si>
    <t>Does the vendor product support Sole Trader income source?</t>
  </si>
  <si>
    <t>Does the vendor product support UK Property income source?</t>
  </si>
  <si>
    <t>Does the vendor product support Foreign Property income source?</t>
  </si>
  <si>
    <t>Is the vendor product Bridging software?</t>
  </si>
  <si>
    <t>Is the vendor product Record keeping software?</t>
  </si>
  <si>
    <t>Does your Making Tax Digital for Income Tax product also support VAT?</t>
  </si>
  <si>
    <t>Does the vendor product support Construction Industry Scheme income source?</t>
  </si>
  <si>
    <t>Does the vendor product support Employment (PAYE) income source?</t>
  </si>
  <si>
    <t>Does the vendor product support Foreign dividends income source?</t>
  </si>
  <si>
    <t>foreign-dividends</t>
  </si>
  <si>
    <t>Does the vendor product support Foreign interest income source?</t>
  </si>
  <si>
    <t>foreign-interest</t>
  </si>
  <si>
    <t>Does the vendor product support UK dividends income source?</t>
  </si>
  <si>
    <t>Does the vendor product support UK interest income source?</t>
  </si>
  <si>
    <t>Does the vendor product support State pension income source?</t>
  </si>
  <si>
    <t>Does the vendor product support Private pension income source?</t>
  </si>
  <si>
    <t>Does the vendor product support Capital Gains Tax?</t>
  </si>
  <si>
    <t>Does the vendor product support Charitable giving?</t>
  </si>
  <si>
    <t>Does the vendor product support Student Loan?</t>
  </si>
  <si>
    <t>Does the vendor product support Voluntary Class 2 National Insurance?</t>
  </si>
  <si>
    <t>Does the vendor product support High Income Child Benefit Charge	?</t>
  </si>
  <si>
    <t>Does the vendor product support Private pension contributions?</t>
  </si>
  <si>
    <t>Does the vendor product support Marriage Allowance</t>
  </si>
  <si>
    <t>Is the vendor product suitable for use by Individual (Sole Trader or Landlord)?</t>
  </si>
  <si>
    <t>Is the vendor product suitable for use by an Agent?</t>
  </si>
  <si>
    <t>agent</t>
  </si>
  <si>
    <t>individual</t>
  </si>
  <si>
    <t>Does the vendor product include support for Blindness or impaired vision?</t>
  </si>
  <si>
    <t>Does the vendor product include support for Deafness or impaired hearing?</t>
  </si>
  <si>
    <t>Does the vendor product include support for Motor or physical difficulties?</t>
  </si>
  <si>
    <t>Does the vendor product include support for Cognitive impairments?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</si>
</sst>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 applyProtection="1">
      <alignment horizontal="right"/>
      <protection locked="0"/>
    </xf>
    <xf numFmtId="0" fontId="3" fillId="0" borderId="0" xfId="1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0A6-AEBF-E14D-8157-EF0B105AAA7D}">
  <dimension ref="A1:C60"/>
  <sheetViews>
    <sheetView tabSelected="1" zoomScale="150" zoomScaleNormal="150" workbookViewId="0">
      <selection activeCell="A21" sqref="A21"/>
    </sheetView>
  </sheetViews>
  <sheetFormatPr baseColWidth="10" defaultRowHeight="16" x14ac:dyDescent="0.2"/>
  <cols>
    <col min="1" max="1" width="123.5" style="1" customWidth="1"/>
    <col min="2" max="2" width="23.83203125" style="1" hidden="1" customWidth="1"/>
    <col min="3" max="3" width="33.1640625" style="7" customWidth="1"/>
    <col min="4" max="4" width="11.6640625" style="1" bestFit="1" customWidth="1"/>
    <col min="5" max="5" width="10.83203125" style="1"/>
    <col min="6" max="6" width="36.1640625" style="1" customWidth="1"/>
    <col min="7" max="16384" width="10.83203125" style="1"/>
  </cols>
  <sheetData>
    <row r="1" spans="1:3" x14ac:dyDescent="0.2">
      <c r="A1" s="1" t="s">
        <v>34</v>
      </c>
      <c r="B1" s="3" t="s">
        <v>0</v>
      </c>
    </row>
    <row r="2" spans="1:3" x14ac:dyDescent="0.2">
      <c r="A2" s="1" t="s">
        <v>36</v>
      </c>
      <c r="B2" s="3" t="s">
        <v>2</v>
      </c>
      <c r="C2" s="8"/>
    </row>
    <row r="3" spans="1:3" x14ac:dyDescent="0.2">
      <c r="A3" s="1" t="s">
        <v>37</v>
      </c>
      <c r="B3" s="3" t="s">
        <v>1</v>
      </c>
      <c r="C3" s="8"/>
    </row>
    <row r="4" spans="1:3" x14ac:dyDescent="0.2">
      <c r="A4" s="1" t="s">
        <v>35</v>
      </c>
      <c r="B4" s="3" t="s">
        <v>3</v>
      </c>
      <c r="C4" s="8"/>
    </row>
    <row r="5" spans="1:3" x14ac:dyDescent="0.2">
      <c r="A5" s="4" t="s">
        <v>38</v>
      </c>
      <c r="B5" s="3" t="s">
        <v>4</v>
      </c>
      <c r="C5" s="8"/>
    </row>
    <row r="6" spans="1:3" x14ac:dyDescent="0.2">
      <c r="B6" s="3" t="s">
        <v>5</v>
      </c>
      <c r="C6" s="8"/>
    </row>
    <row r="7" spans="1:3" x14ac:dyDescent="0.2">
      <c r="A7" s="1" t="s">
        <v>39</v>
      </c>
      <c r="B7" s="1" t="s">
        <v>6</v>
      </c>
      <c r="C7" s="9"/>
    </row>
    <row r="8" spans="1:3" x14ac:dyDescent="0.2">
      <c r="A8" s="1" t="s">
        <v>44</v>
      </c>
      <c r="B8" s="1" t="s">
        <v>7</v>
      </c>
      <c r="C8" s="9"/>
    </row>
    <row r="9" spans="1:3" x14ac:dyDescent="0.2">
      <c r="A9" s="1" t="s">
        <v>45</v>
      </c>
      <c r="B9" s="1" t="s">
        <v>15</v>
      </c>
      <c r="C9" s="9"/>
    </row>
    <row r="10" spans="1:3" x14ac:dyDescent="0.2">
      <c r="A10" s="2" t="s">
        <v>46</v>
      </c>
      <c r="B10" s="1" t="s">
        <v>16</v>
      </c>
      <c r="C10" s="9"/>
    </row>
    <row r="11" spans="1:3" x14ac:dyDescent="0.2">
      <c r="A11" s="1" t="s">
        <v>48</v>
      </c>
      <c r="B11" s="1" t="s">
        <v>17</v>
      </c>
      <c r="C11" s="9"/>
    </row>
    <row r="12" spans="1:3" x14ac:dyDescent="0.2">
      <c r="A12" s="1" t="s">
        <v>47</v>
      </c>
      <c r="B12" s="1" t="s">
        <v>18</v>
      </c>
      <c r="C12" s="9"/>
    </row>
    <row r="13" spans="1:3" x14ac:dyDescent="0.2">
      <c r="A13" s="1" t="s">
        <v>49</v>
      </c>
      <c r="B13" s="1" t="s">
        <v>19</v>
      </c>
      <c r="C13" s="9"/>
    </row>
    <row r="14" spans="1:3" x14ac:dyDescent="0.2">
      <c r="A14" s="1" t="s">
        <v>40</v>
      </c>
      <c r="B14" s="1" t="s">
        <v>24</v>
      </c>
      <c r="C14" s="9"/>
    </row>
    <row r="15" spans="1:3" x14ac:dyDescent="0.2">
      <c r="A15" s="1" t="s">
        <v>41</v>
      </c>
      <c r="B15" s="1" t="s">
        <v>25</v>
      </c>
      <c r="C15" s="9"/>
    </row>
    <row r="16" spans="1:3" x14ac:dyDescent="0.2">
      <c r="A16" s="1" t="s">
        <v>42</v>
      </c>
      <c r="B16" s="1" t="s">
        <v>26</v>
      </c>
      <c r="C16" s="9"/>
    </row>
    <row r="17" spans="1:3" x14ac:dyDescent="0.2">
      <c r="A17" s="1" t="s">
        <v>43</v>
      </c>
      <c r="B17" s="1" t="s">
        <v>27</v>
      </c>
      <c r="C17" s="9"/>
    </row>
    <row r="18" spans="1:3" x14ac:dyDescent="0.2">
      <c r="A18" s="2" t="s">
        <v>50</v>
      </c>
      <c r="B18" s="1" t="s">
        <v>9</v>
      </c>
      <c r="C18" s="9"/>
    </row>
    <row r="19" spans="1:3" x14ac:dyDescent="0.2">
      <c r="A19" s="2" t="s">
        <v>51</v>
      </c>
      <c r="B19" s="1" t="s">
        <v>10</v>
      </c>
      <c r="C19" s="9"/>
    </row>
    <row r="20" spans="1:3" x14ac:dyDescent="0.2">
      <c r="A20" s="2" t="s">
        <v>54</v>
      </c>
      <c r="B20" s="1" t="s">
        <v>55</v>
      </c>
      <c r="C20" s="9"/>
    </row>
    <row r="21" spans="1:3" x14ac:dyDescent="0.2">
      <c r="A21" s="2" t="s">
        <v>52</v>
      </c>
      <c r="B21" s="1" t="s">
        <v>53</v>
      </c>
      <c r="C21" s="9"/>
    </row>
    <row r="22" spans="1:3" x14ac:dyDescent="0.2">
      <c r="A22" s="2" t="s">
        <v>56</v>
      </c>
      <c r="B22" s="1" t="s">
        <v>13</v>
      </c>
      <c r="C22" s="9"/>
    </row>
    <row r="23" spans="1:3" x14ac:dyDescent="0.2">
      <c r="A23" s="2" t="s">
        <v>57</v>
      </c>
      <c r="B23" s="1" t="s">
        <v>14</v>
      </c>
      <c r="C23" s="9"/>
    </row>
    <row r="24" spans="1:3" x14ac:dyDescent="0.2">
      <c r="A24" s="2" t="s">
        <v>58</v>
      </c>
      <c r="B24" s="1" t="s">
        <v>31</v>
      </c>
      <c r="C24" s="9"/>
    </row>
    <row r="25" spans="1:3" x14ac:dyDescent="0.2">
      <c r="A25" s="2" t="s">
        <v>59</v>
      </c>
      <c r="B25" s="1" t="s">
        <v>32</v>
      </c>
      <c r="C25" s="9"/>
    </row>
    <row r="26" spans="1:3" x14ac:dyDescent="0.2">
      <c r="A26" s="1" t="s">
        <v>60</v>
      </c>
      <c r="B26" s="1" t="s">
        <v>8</v>
      </c>
      <c r="C26" s="9"/>
    </row>
    <row r="27" spans="1:3" x14ac:dyDescent="0.2">
      <c r="A27" s="1" t="s">
        <v>61</v>
      </c>
      <c r="B27" s="1" t="s">
        <v>28</v>
      </c>
      <c r="C27" s="9"/>
    </row>
    <row r="28" spans="1:3" x14ac:dyDescent="0.2">
      <c r="A28" s="1" t="s">
        <v>62</v>
      </c>
      <c r="B28" s="1" t="s">
        <v>12</v>
      </c>
      <c r="C28" s="9"/>
    </row>
    <row r="29" spans="1:3" x14ac:dyDescent="0.2">
      <c r="A29" s="1" t="s">
        <v>63</v>
      </c>
      <c r="B29" s="1" t="s">
        <v>30</v>
      </c>
      <c r="C29" s="9"/>
    </row>
    <row r="30" spans="1:3" x14ac:dyDescent="0.2">
      <c r="A30" s="1" t="s">
        <v>64</v>
      </c>
      <c r="B30" s="1" t="s">
        <v>29</v>
      </c>
      <c r="C30" s="9"/>
    </row>
    <row r="31" spans="1:3" x14ac:dyDescent="0.2">
      <c r="A31" s="1" t="s">
        <v>65</v>
      </c>
      <c r="B31" s="1" t="s">
        <v>33</v>
      </c>
      <c r="C31" s="9"/>
    </row>
    <row r="32" spans="1:3" x14ac:dyDescent="0.2">
      <c r="A32" s="1" t="s">
        <v>66</v>
      </c>
      <c r="B32" s="1" t="s">
        <v>11</v>
      </c>
      <c r="C32" s="9"/>
    </row>
    <row r="33" spans="1:3" x14ac:dyDescent="0.2">
      <c r="A33" s="1" t="s">
        <v>71</v>
      </c>
      <c r="B33" s="1" t="s">
        <v>20</v>
      </c>
      <c r="C33" s="9"/>
    </row>
    <row r="34" spans="1:3" x14ac:dyDescent="0.2">
      <c r="A34" s="1" t="s">
        <v>72</v>
      </c>
      <c r="B34" s="1" t="s">
        <v>21</v>
      </c>
      <c r="C34" s="9"/>
    </row>
    <row r="35" spans="1:3" x14ac:dyDescent="0.2">
      <c r="A35" s="1" t="s">
        <v>73</v>
      </c>
      <c r="B35" s="1" t="s">
        <v>22</v>
      </c>
      <c r="C35" s="9"/>
    </row>
    <row r="36" spans="1:3" x14ac:dyDescent="0.2">
      <c r="A36" s="1" t="s">
        <v>74</v>
      </c>
      <c r="B36" s="1" t="s">
        <v>23</v>
      </c>
      <c r="C36" s="9"/>
    </row>
    <row r="37" spans="1:3" x14ac:dyDescent="0.2">
      <c r="A37" s="1" t="s">
        <v>67</v>
      </c>
      <c r="B37" s="1" t="s">
        <v>70</v>
      </c>
      <c r="C37" s="9"/>
    </row>
    <row r="38" spans="1:3" x14ac:dyDescent="0.2">
      <c r="A38" s="1" t="s">
        <v>68</v>
      </c>
      <c r="B38" s="1" t="s">
        <v>69</v>
      </c>
      <c r="C38" s="9"/>
    </row>
    <row r="39" spans="1:3" x14ac:dyDescent="0.2">
      <c r="B39" s="2"/>
    </row>
    <row r="48" spans="1:3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9" spans="2:2" x14ac:dyDescent="0.2">
      <c r="B59" s="2"/>
    </row>
    <row r="60" spans="2:2" x14ac:dyDescent="0.2">
      <c r="B60" s="2"/>
    </row>
  </sheetData>
  <sheetProtection algorithmName="SHA-512" hashValue="2+CBZb+8L4tJ+SaW5isYU5qSVr0OQ0bx2csH1FBKu8ZpxKigPevSCD9WNIkkBiMu8CV/PYmKrsI88WWCQIFSUw==" saltValue="dt++zvX9/WRFr+wTZs4alg==" spinCount="100000" sheet="1" objects="1" scenarios="1"/>
  <dataConsolidate/>
  <conditionalFormatting sqref="C1:C5">
    <cfRule type="containsBlanks" dxfId="1" priority="1">
      <formula>LEN(TRIM(C1))=0</formula>
    </cfRule>
  </conditionalFormatting>
  <conditionalFormatting sqref="C7:C38">
    <cfRule type="containsBlanks" dxfId="0" priority="3">
      <formula>LEN(TRIM(C7))=0</formula>
    </cfRule>
  </conditionalFormatting>
  <dataValidations count="1">
    <dataValidation type="list" allowBlank="1" showInputMessage="1" showErrorMessage="1" error="Please select" sqref="C7:C38" xr:uid="{A62B9F78-C7DC-3841-ACD3-A971DAD67872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5535-F729-5740-A2DC-21F3223B2201}">
  <dimension ref="A1:K63"/>
  <sheetViews>
    <sheetView topLeftCell="F1" zoomScale="157" zoomScaleNormal="157" workbookViewId="0">
      <selection activeCell="F1" sqref="F1"/>
    </sheetView>
  </sheetViews>
  <sheetFormatPr baseColWidth="10" defaultRowHeight="16" x14ac:dyDescent="0.2"/>
  <cols>
    <col min="1" max="1" width="30.1640625" hidden="1" customWidth="1"/>
    <col min="2" max="2" width="29.83203125" hidden="1" customWidth="1"/>
    <col min="3" max="3" width="26.33203125" hidden="1" customWidth="1"/>
    <col min="4" max="4" width="44.33203125" hidden="1" customWidth="1"/>
    <col min="5" max="5" width="14.1640625" hidden="1" customWidth="1"/>
  </cols>
  <sheetData>
    <row r="1" spans="1:11" ht="16" customHeight="1" x14ac:dyDescent="0.2">
      <c r="A1" t="str">
        <f>IF(ISBLANK(Data!A1),"",Data!B1)</f>
        <v>name</v>
      </c>
      <c r="B1" t="str">
        <f>IF(ISBLANK(Data!C1),"",Data!C1)</f>
        <v/>
      </c>
      <c r="D1" t="str">
        <f>CONCATENATE(CONCATENATE("""",A1,""""), ": ", CONCATENATE("""",B1,""""))</f>
        <v>"name": ""</v>
      </c>
      <c r="F1" s="6" t="str">
        <f>CONCATENATE("{",_xlfn.TEXTJOIN(",",TRUE,D1:D37),"}")</f>
        <v>{"name": "","phone": "","email": "","website": "","accessibilityStatementLink": "","filters": []}</v>
      </c>
      <c r="G1" s="5"/>
      <c r="H1" s="5"/>
      <c r="I1" s="5"/>
      <c r="J1" s="5"/>
      <c r="K1" s="5"/>
    </row>
    <row r="2" spans="1:11" ht="16" customHeight="1" x14ac:dyDescent="0.2">
      <c r="A2" t="str">
        <f>IF(ISBLANK(Data!A2),"",Data!B2)</f>
        <v>phone</v>
      </c>
      <c r="B2" t="str">
        <f>IF(ISBLANK(Data!C2),"",Data!C2)</f>
        <v/>
      </c>
      <c r="D2" t="str">
        <f>CONCATENATE(CONCATENATE("""",A2,""""), ": ", CONCATENATE("""",B2,""""))</f>
        <v>"phone": ""</v>
      </c>
      <c r="F2" s="5"/>
      <c r="G2" s="5"/>
      <c r="H2" s="5"/>
      <c r="I2" s="5"/>
      <c r="J2" s="5"/>
      <c r="K2" s="5"/>
    </row>
    <row r="3" spans="1:11" x14ac:dyDescent="0.2">
      <c r="A3" t="str">
        <f>IF(ISBLANK(Data!A3),"",Data!B3)</f>
        <v>email</v>
      </c>
      <c r="B3" t="str">
        <f>IF(ISBLANK(Data!C3),"",Data!C3)</f>
        <v/>
      </c>
      <c r="D3" t="str">
        <f>CONCATENATE(CONCATENATE("""",A3,""""), ": ", CONCATENATE("""",B3,""""))</f>
        <v>"email": ""</v>
      </c>
      <c r="F3" s="5"/>
      <c r="G3" s="5"/>
      <c r="H3" s="5"/>
      <c r="I3" s="5"/>
      <c r="J3" s="5"/>
      <c r="K3" s="5"/>
    </row>
    <row r="4" spans="1:11" x14ac:dyDescent="0.2">
      <c r="A4" t="str">
        <f>IF(ISBLANK(Data!A4),"",Data!B4)</f>
        <v>website</v>
      </c>
      <c r="B4" t="str">
        <f>IF(ISBLANK(Data!C4),"",Data!C4)</f>
        <v/>
      </c>
      <c r="D4" t="str">
        <f>CONCATENATE(CONCATENATE("""",A4,""""), ": ", CONCATENATE("""",B4,""""))</f>
        <v>"website": ""</v>
      </c>
      <c r="F4" s="5"/>
      <c r="G4" s="5"/>
      <c r="H4" s="5"/>
      <c r="I4" s="5"/>
      <c r="J4" s="5"/>
      <c r="K4" s="5"/>
    </row>
    <row r="5" spans="1:11" x14ac:dyDescent="0.2">
      <c r="A5" t="str">
        <f>IF(ISBLANK(Data!A5),"",Data!B5)</f>
        <v>accessibilityStatementLink</v>
      </c>
      <c r="B5" t="str">
        <f>IF(ISBLANK(Data!C5),"",Data!C5)</f>
        <v/>
      </c>
      <c r="D5" t="str">
        <f>CONCATENATE(CONCATENATE("""",A5,""""), ": ", CONCATENATE("""",B5,""""))</f>
        <v>"accessibilityStatementLink": ""</v>
      </c>
      <c r="F5" s="5"/>
      <c r="G5" s="5"/>
      <c r="H5" s="5"/>
      <c r="I5" s="5"/>
      <c r="J5" s="5"/>
      <c r="K5" s="5"/>
    </row>
    <row r="6" spans="1:11" x14ac:dyDescent="0.2">
      <c r="F6" s="5"/>
      <c r="G6" s="5"/>
      <c r="H6" s="5"/>
      <c r="I6" s="5"/>
      <c r="J6" s="5"/>
      <c r="K6" s="5"/>
    </row>
    <row r="7" spans="1:11" x14ac:dyDescent="0.2">
      <c r="A7" t="str">
        <f>IF(ISBLANK(Data!A6),"",Data!B6)</f>
        <v/>
      </c>
      <c r="B7" t="str">
        <f>IF(ISBLANK(Data!C6),"",Data!C6)</f>
        <v/>
      </c>
      <c r="D7" t="str">
        <f>_xlfn.CONCAT("""filters""", ": [", _xlfn.TEXTJOIN(",",TRUE,C8:C45),"]")</f>
        <v>"filters": []</v>
      </c>
      <c r="F7" s="5"/>
      <c r="G7" s="5"/>
      <c r="H7" s="5"/>
      <c r="I7" s="5"/>
      <c r="J7" s="5"/>
      <c r="K7" s="5"/>
    </row>
    <row r="8" spans="1:11" x14ac:dyDescent="0.2">
      <c r="A8" t="str">
        <f>IF(ISBLANK(Data!A7),"",Data!B7)</f>
        <v>free-version</v>
      </c>
      <c r="B8" t="str">
        <f>IF(ISBLANK(Data!C7),"",Data!C7)</f>
        <v/>
      </c>
      <c r="C8" t="str">
        <f>IF(B8=TRUE,CONCATENATE("""",A8,""""),"")</f>
        <v/>
      </c>
      <c r="F8" s="5"/>
      <c r="G8" s="5"/>
      <c r="H8" s="5"/>
      <c r="I8" s="5"/>
      <c r="J8" s="5"/>
      <c r="K8" s="5"/>
    </row>
    <row r="9" spans="1:11" x14ac:dyDescent="0.2">
      <c r="A9" t="str">
        <f>IF(ISBLANK(Data!A8),"",Data!B8)</f>
        <v>sole-trader</v>
      </c>
      <c r="B9" t="str">
        <f>IF(ISBLANK(Data!C8),"",Data!C8)</f>
        <v/>
      </c>
      <c r="C9" t="str">
        <f t="shared" ref="C9:C38" si="0">IF(B9=TRUE,CONCATENATE("""",A9,""""),"")</f>
        <v/>
      </c>
      <c r="F9" s="5"/>
      <c r="G9" s="5"/>
      <c r="H9" s="5"/>
      <c r="I9" s="5"/>
      <c r="J9" s="5"/>
      <c r="K9" s="5"/>
    </row>
    <row r="10" spans="1:11" x14ac:dyDescent="0.2">
      <c r="A10" t="str">
        <f>IF(ISBLANK(Data!A9),"",Data!B9)</f>
        <v>uk-property</v>
      </c>
      <c r="B10" t="str">
        <f>IF(ISBLANK(Data!C9),"",Data!C9)</f>
        <v/>
      </c>
      <c r="C10" t="str">
        <f t="shared" si="0"/>
        <v/>
      </c>
      <c r="F10" s="5"/>
      <c r="G10" s="5"/>
      <c r="H10" s="5"/>
      <c r="I10" s="5"/>
      <c r="J10" s="5"/>
      <c r="K10" s="5"/>
    </row>
    <row r="11" spans="1:11" x14ac:dyDescent="0.2">
      <c r="A11" t="str">
        <f>IF(ISBLANK(Data!A10),"",Data!B10)</f>
        <v>overseas-property</v>
      </c>
      <c r="B11" t="str">
        <f>IF(ISBLANK(Data!C10),"",Data!C10)</f>
        <v/>
      </c>
      <c r="C11" t="str">
        <f t="shared" si="0"/>
        <v/>
      </c>
      <c r="F11" s="5"/>
      <c r="G11" s="5"/>
      <c r="H11" s="5"/>
      <c r="I11" s="5"/>
      <c r="J11" s="5"/>
      <c r="K11" s="5"/>
    </row>
    <row r="12" spans="1:11" x14ac:dyDescent="0.2">
      <c r="A12" t="str">
        <f>IF(ISBLANK(Data!A11),"",Data!B11)</f>
        <v>record-keeping</v>
      </c>
      <c r="B12" t="str">
        <f>IF(ISBLANK(Data!C11),"",Data!C11)</f>
        <v/>
      </c>
      <c r="C12" t="str">
        <f t="shared" si="0"/>
        <v/>
      </c>
      <c r="F12" s="5"/>
      <c r="G12" s="5"/>
      <c r="H12" s="5"/>
      <c r="I12" s="5"/>
      <c r="J12" s="5"/>
      <c r="K12" s="5"/>
    </row>
    <row r="13" spans="1:11" x14ac:dyDescent="0.2">
      <c r="A13" t="str">
        <f>IF(ISBLANK(Data!A12),"",Data!B12)</f>
        <v>bridging</v>
      </c>
      <c r="B13" t="str">
        <f>IF(ISBLANK(Data!C12),"",Data!C12)</f>
        <v/>
      </c>
      <c r="C13" t="str">
        <f t="shared" si="0"/>
        <v/>
      </c>
      <c r="F13" s="5"/>
      <c r="G13" s="5"/>
      <c r="H13" s="5"/>
      <c r="I13" s="5"/>
      <c r="J13" s="5"/>
      <c r="K13" s="5"/>
    </row>
    <row r="14" spans="1:11" x14ac:dyDescent="0.2">
      <c r="A14" t="str">
        <f>IF(ISBLANK(Data!A13),"",Data!B13)</f>
        <v>vat</v>
      </c>
      <c r="B14" t="str">
        <f>IF(ISBLANK(Data!C13),"",Data!C13)</f>
        <v/>
      </c>
      <c r="C14" t="str">
        <f t="shared" si="0"/>
        <v/>
      </c>
      <c r="F14" s="5"/>
      <c r="G14" s="5"/>
      <c r="H14" s="5"/>
      <c r="I14" s="5"/>
      <c r="J14" s="5"/>
      <c r="K14" s="5"/>
    </row>
    <row r="15" spans="1:11" x14ac:dyDescent="0.2">
      <c r="A15" t="str">
        <f>IF(ISBLANK(Data!A14),"",Data!B14)</f>
        <v>quarterly-updates</v>
      </c>
      <c r="B15" t="str">
        <f>IF(ISBLANK(Data!C14),"",Data!C14)</f>
        <v/>
      </c>
      <c r="C15" t="str">
        <f t="shared" si="0"/>
        <v/>
      </c>
      <c r="F15" s="5"/>
      <c r="G15" s="5"/>
      <c r="H15" s="5"/>
      <c r="I15" s="5"/>
      <c r="J15" s="5"/>
      <c r="K15" s="5"/>
    </row>
    <row r="16" spans="1:11" x14ac:dyDescent="0.2">
      <c r="A16" t="str">
        <f>IF(ISBLANK(Data!A15),"",Data!B15)</f>
        <v>tax-return</v>
      </c>
      <c r="B16" t="str">
        <f>IF(ISBLANK(Data!C15),"",Data!C15)</f>
        <v/>
      </c>
      <c r="C16" t="str">
        <f t="shared" si="0"/>
        <v/>
      </c>
      <c r="F16" s="5"/>
      <c r="G16" s="5"/>
      <c r="H16" s="5"/>
      <c r="I16" s="5"/>
      <c r="J16" s="5"/>
      <c r="K16" s="5"/>
    </row>
    <row r="17" spans="1:11" x14ac:dyDescent="0.2">
      <c r="A17" t="str">
        <f>IF(ISBLANK(Data!A16),"",Data!B16)</f>
        <v>standard-update-periods</v>
      </c>
      <c r="B17" t="str">
        <f>IF(ISBLANK(Data!C16),"",Data!C16)</f>
        <v/>
      </c>
      <c r="C17" t="str">
        <f t="shared" si="0"/>
        <v/>
      </c>
      <c r="F17" s="5"/>
      <c r="G17" s="5"/>
      <c r="H17" s="5"/>
      <c r="I17" s="5"/>
      <c r="J17" s="5"/>
      <c r="K17" s="5"/>
    </row>
    <row r="18" spans="1:11" x14ac:dyDescent="0.2">
      <c r="A18" t="str">
        <f>IF(ISBLANK(Data!A17),"",Data!B17)</f>
        <v>calendar-update-periods</v>
      </c>
      <c r="B18" t="str">
        <f>IF(ISBLANK(Data!C17),"",Data!C17)</f>
        <v/>
      </c>
      <c r="C18" t="str">
        <f t="shared" si="0"/>
        <v/>
      </c>
      <c r="F18" s="5"/>
      <c r="G18" s="5"/>
      <c r="H18" s="5"/>
      <c r="I18" s="5"/>
      <c r="J18" s="5"/>
      <c r="K18" s="5"/>
    </row>
    <row r="19" spans="1:11" x14ac:dyDescent="0.2">
      <c r="A19" t="str">
        <f>IF(ISBLANK(Data!A18),"",Data!B18)</f>
        <v>construction-industry-scheme</v>
      </c>
      <c r="B19" t="str">
        <f>IF(ISBLANK(Data!C18),"",Data!C18)</f>
        <v/>
      </c>
      <c r="C19" t="str">
        <f t="shared" si="0"/>
        <v/>
      </c>
      <c r="F19" s="5"/>
      <c r="G19" s="5"/>
      <c r="H19" s="5"/>
      <c r="I19" s="5"/>
      <c r="J19" s="5"/>
      <c r="K19" s="5"/>
    </row>
    <row r="20" spans="1:11" x14ac:dyDescent="0.2">
      <c r="A20" t="str">
        <f>IF(ISBLANK(Data!A19),"",Data!B19)</f>
        <v>employment</v>
      </c>
      <c r="B20" t="str">
        <f>IF(ISBLANK(Data!C19),"",Data!C19)</f>
        <v/>
      </c>
      <c r="C20" t="str">
        <f t="shared" si="0"/>
        <v/>
      </c>
      <c r="F20" s="5"/>
      <c r="G20" s="5"/>
      <c r="H20" s="5"/>
      <c r="I20" s="5"/>
      <c r="J20" s="5"/>
      <c r="K20" s="5"/>
    </row>
    <row r="21" spans="1:11" x14ac:dyDescent="0.2">
      <c r="A21" t="str">
        <f>IF(ISBLANK(Data!A20),"",Data!B20)</f>
        <v>foreign-interest</v>
      </c>
      <c r="B21" t="str">
        <f>IF(ISBLANK(Data!C20),"",Data!C20)</f>
        <v/>
      </c>
      <c r="C21" t="str">
        <f t="shared" si="0"/>
        <v/>
      </c>
      <c r="F21" s="5"/>
      <c r="G21" s="5"/>
      <c r="H21" s="5"/>
      <c r="I21" s="5"/>
      <c r="J21" s="5"/>
      <c r="K21" s="5"/>
    </row>
    <row r="22" spans="1:11" x14ac:dyDescent="0.2">
      <c r="A22" t="str">
        <f>IF(ISBLANK(Data!A21),"",Data!B21)</f>
        <v>foreign-dividends</v>
      </c>
      <c r="B22" t="str">
        <f>IF(ISBLANK(Data!C21),"",Data!C21)</f>
        <v/>
      </c>
      <c r="C22" t="str">
        <f t="shared" si="0"/>
        <v/>
      </c>
      <c r="F22" s="5"/>
      <c r="G22" s="5"/>
      <c r="H22" s="5"/>
      <c r="I22" s="5"/>
      <c r="J22" s="5"/>
      <c r="K22" s="5"/>
    </row>
    <row r="23" spans="1:11" x14ac:dyDescent="0.2">
      <c r="A23" t="str">
        <f>IF(ISBLANK(Data!A22),"",Data!B22)</f>
        <v>uk-dividends</v>
      </c>
      <c r="B23" t="str">
        <f>IF(ISBLANK(Data!C22),"",Data!C22)</f>
        <v/>
      </c>
      <c r="C23" t="str">
        <f t="shared" si="0"/>
        <v/>
      </c>
      <c r="F23" s="5"/>
      <c r="G23" s="5"/>
      <c r="H23" s="5"/>
      <c r="I23" s="5"/>
      <c r="J23" s="5"/>
      <c r="K23" s="5"/>
    </row>
    <row r="24" spans="1:11" x14ac:dyDescent="0.2">
      <c r="A24" t="str">
        <f>IF(ISBLANK(Data!A23),"",Data!B23)</f>
        <v>uk-interest</v>
      </c>
      <c r="B24" t="str">
        <f>IF(ISBLANK(Data!C23),"",Data!C23)</f>
        <v/>
      </c>
      <c r="C24" t="str">
        <f t="shared" si="0"/>
        <v/>
      </c>
      <c r="F24" s="5"/>
      <c r="G24" s="5"/>
      <c r="H24" s="5"/>
      <c r="I24" s="5"/>
      <c r="J24" s="5"/>
      <c r="K24" s="5"/>
    </row>
    <row r="25" spans="1:11" x14ac:dyDescent="0.2">
      <c r="A25" t="str">
        <f>IF(ISBLANK(Data!A24),"",Data!B24)</f>
        <v>state-pension-income</v>
      </c>
      <c r="B25" t="str">
        <f>IF(ISBLANK(Data!C24),"",Data!C24)</f>
        <v/>
      </c>
      <c r="C25" t="str">
        <f t="shared" si="0"/>
        <v/>
      </c>
      <c r="F25" s="5"/>
      <c r="G25" s="5"/>
      <c r="H25" s="5"/>
      <c r="I25" s="5"/>
      <c r="J25" s="5"/>
      <c r="K25" s="5"/>
    </row>
    <row r="26" spans="1:11" x14ac:dyDescent="0.2">
      <c r="A26" t="str">
        <f>IF(ISBLANK(Data!A25),"",Data!B25)</f>
        <v>private-pension-income</v>
      </c>
      <c r="B26" t="str">
        <f>IF(ISBLANK(Data!C25),"",Data!C25)</f>
        <v/>
      </c>
      <c r="C26" t="str">
        <f t="shared" si="0"/>
        <v/>
      </c>
      <c r="F26" s="5"/>
      <c r="G26" s="5"/>
      <c r="H26" s="5"/>
      <c r="I26" s="5"/>
      <c r="J26" s="5"/>
      <c r="K26" s="5"/>
    </row>
    <row r="27" spans="1:11" x14ac:dyDescent="0.2">
      <c r="A27" t="str">
        <f>IF(ISBLANK(Data!A26),"",Data!B26)</f>
        <v>capital-gains-tax</v>
      </c>
      <c r="B27" t="str">
        <f>IF(ISBLANK(Data!C26),"",Data!C26)</f>
        <v/>
      </c>
      <c r="C27" t="str">
        <f t="shared" si="0"/>
        <v/>
      </c>
      <c r="F27" s="5"/>
      <c r="G27" s="5"/>
      <c r="H27" s="5"/>
      <c r="I27" s="5"/>
      <c r="J27" s="5"/>
      <c r="K27" s="5"/>
    </row>
    <row r="28" spans="1:11" x14ac:dyDescent="0.2">
      <c r="A28" t="str">
        <f>IF(ISBLANK(Data!A27),"",Data!B27)</f>
        <v>charitable-giving</v>
      </c>
      <c r="B28" t="str">
        <f>IF(ISBLANK(Data!C27),"",Data!C27)</f>
        <v/>
      </c>
      <c r="C28" t="str">
        <f t="shared" si="0"/>
        <v/>
      </c>
      <c r="F28" s="5"/>
      <c r="G28" s="5"/>
      <c r="H28" s="5"/>
      <c r="I28" s="5"/>
      <c r="J28" s="5"/>
      <c r="K28" s="5"/>
    </row>
    <row r="29" spans="1:11" x14ac:dyDescent="0.2">
      <c r="A29" t="str">
        <f>IF(ISBLANK(Data!A28),"",Data!B28)</f>
        <v>student-loans</v>
      </c>
      <c r="B29" t="str">
        <f>IF(ISBLANK(Data!C28),"",Data!C28)</f>
        <v/>
      </c>
      <c r="C29" t="str">
        <f t="shared" si="0"/>
        <v/>
      </c>
      <c r="F29" s="5"/>
      <c r="G29" s="5"/>
      <c r="H29" s="5"/>
      <c r="I29" s="5"/>
      <c r="J29" s="5"/>
      <c r="K29" s="5"/>
    </row>
    <row r="30" spans="1:11" x14ac:dyDescent="0.2">
      <c r="A30" t="str">
        <f>IF(ISBLANK(Data!A29),"",Data!B29)</f>
        <v>voluntary-class-2-national-insurance</v>
      </c>
      <c r="B30" t="str">
        <f>IF(ISBLANK(Data!C29),"",Data!C29)</f>
        <v/>
      </c>
      <c r="C30" t="str">
        <f t="shared" si="0"/>
        <v/>
      </c>
      <c r="F30" s="5"/>
      <c r="G30" s="5"/>
      <c r="H30" s="5"/>
      <c r="I30" s="5"/>
      <c r="J30" s="5"/>
      <c r="K30" s="5"/>
    </row>
    <row r="31" spans="1:11" x14ac:dyDescent="0.2">
      <c r="A31" t="str">
        <f>IF(ISBLANK(Data!A30),"",Data!B30)</f>
        <v>high-income-child-benefit-charge</v>
      </c>
      <c r="B31" t="str">
        <f>IF(ISBLANK(Data!C30),"",Data!C30)</f>
        <v/>
      </c>
      <c r="C31" t="str">
        <f t="shared" si="0"/>
        <v/>
      </c>
      <c r="F31" s="5"/>
      <c r="G31" s="5"/>
      <c r="H31" s="5"/>
      <c r="I31" s="5"/>
      <c r="J31" s="5"/>
      <c r="K31" s="5"/>
    </row>
    <row r="32" spans="1:11" x14ac:dyDescent="0.2">
      <c r="A32" t="str">
        <f>IF(ISBLANK(Data!A31),"",Data!B31)</f>
        <v>payments-into-a-private-pension</v>
      </c>
      <c r="B32" t="str">
        <f>IF(ISBLANK(Data!C31),"",Data!C31)</f>
        <v/>
      </c>
      <c r="C32" t="str">
        <f t="shared" si="0"/>
        <v/>
      </c>
      <c r="F32" s="5"/>
      <c r="G32" s="5"/>
      <c r="H32" s="5"/>
      <c r="I32" s="5"/>
      <c r="J32" s="5"/>
      <c r="K32" s="5"/>
    </row>
    <row r="33" spans="1:11" x14ac:dyDescent="0.2">
      <c r="A33" t="str">
        <f>IF(ISBLANK(Data!A32),"",Data!B32)</f>
        <v>marriage-allowance</v>
      </c>
      <c r="B33" t="str">
        <f>IF(ISBLANK(Data!C32),"",Data!C32)</f>
        <v/>
      </c>
      <c r="C33" t="str">
        <f t="shared" si="0"/>
        <v/>
      </c>
      <c r="F33" s="5"/>
      <c r="G33" s="5"/>
      <c r="H33" s="5"/>
      <c r="I33" s="5"/>
      <c r="J33" s="5"/>
      <c r="K33" s="5"/>
    </row>
    <row r="34" spans="1:11" x14ac:dyDescent="0.2">
      <c r="A34" t="str">
        <f>IF(ISBLANK(Data!A33),"",Data!B33)</f>
        <v>visual</v>
      </c>
      <c r="B34" t="str">
        <f>IF(ISBLANK(Data!C33),"",Data!C33)</f>
        <v/>
      </c>
      <c r="C34" t="str">
        <f t="shared" si="0"/>
        <v/>
      </c>
      <c r="F34" s="5"/>
      <c r="G34" s="5"/>
      <c r="H34" s="5"/>
      <c r="I34" s="5"/>
      <c r="J34" s="5"/>
      <c r="K34" s="5"/>
    </row>
    <row r="35" spans="1:11" x14ac:dyDescent="0.2">
      <c r="A35" t="str">
        <f>IF(ISBLANK(Data!A34),"",Data!B34)</f>
        <v>hearing</v>
      </c>
      <c r="B35" t="str">
        <f>IF(ISBLANK(Data!C34),"",Data!C34)</f>
        <v/>
      </c>
      <c r="C35" t="str">
        <f t="shared" si="0"/>
        <v/>
      </c>
      <c r="F35" s="5"/>
      <c r="G35" s="5"/>
      <c r="H35" s="5"/>
      <c r="I35" s="5"/>
      <c r="J35" s="5"/>
      <c r="K35" s="5"/>
    </row>
    <row r="36" spans="1:11" x14ac:dyDescent="0.2">
      <c r="A36" t="str">
        <f>IF(ISBLANK(Data!A35),"",Data!B35)</f>
        <v>motor</v>
      </c>
      <c r="B36" t="str">
        <f>IF(ISBLANK(Data!C35),"",Data!C35)</f>
        <v/>
      </c>
      <c r="C36" t="str">
        <f t="shared" si="0"/>
        <v/>
      </c>
      <c r="F36" s="5"/>
      <c r="G36" s="5"/>
      <c r="H36" s="5"/>
      <c r="I36" s="5"/>
      <c r="J36" s="5"/>
      <c r="K36" s="5"/>
    </row>
    <row r="37" spans="1:11" x14ac:dyDescent="0.2">
      <c r="A37" t="str">
        <f>IF(ISBLANK(Data!A36),"",Data!B36)</f>
        <v>cognitive</v>
      </c>
      <c r="B37" t="str">
        <f>IF(ISBLANK(Data!C36),"",Data!C36)</f>
        <v/>
      </c>
      <c r="C37" t="str">
        <f t="shared" si="0"/>
        <v/>
      </c>
      <c r="F37" s="5"/>
      <c r="G37" s="5"/>
      <c r="H37" s="5"/>
      <c r="I37" s="5"/>
      <c r="J37" s="5"/>
      <c r="K37" s="5"/>
    </row>
    <row r="38" spans="1:11" x14ac:dyDescent="0.2">
      <c r="A38" t="str">
        <f>IF(ISBLANK(Data!A37),"",Data!B37)</f>
        <v>individual</v>
      </c>
      <c r="B38" t="str">
        <f>IF(ISBLANK(Data!C37),"",Data!C37)</f>
        <v/>
      </c>
      <c r="C38" t="str">
        <f t="shared" si="0"/>
        <v/>
      </c>
      <c r="F38" s="5"/>
      <c r="G38" s="5"/>
      <c r="H38" s="5"/>
      <c r="I38" s="5"/>
      <c r="J38" s="5"/>
      <c r="K38" s="5"/>
    </row>
    <row r="39" spans="1:11" x14ac:dyDescent="0.2">
      <c r="A39" t="str">
        <f>IF(ISBLANK(Data!A38),"",Data!B38)</f>
        <v>agent</v>
      </c>
      <c r="B39" t="str">
        <f>IF(ISBLANK(Data!C38),"",Data!C38)</f>
        <v/>
      </c>
      <c r="C39" t="str">
        <f t="shared" ref="C39:C40" si="1">IF(B39=TRUE,CONCATENATE("""",A39,""""),"")</f>
        <v/>
      </c>
      <c r="F39" s="5"/>
      <c r="G39" s="5"/>
      <c r="H39" s="5"/>
      <c r="I39" s="5"/>
      <c r="J39" s="5"/>
      <c r="K39" s="5"/>
    </row>
    <row r="40" spans="1:11" x14ac:dyDescent="0.2">
      <c r="A40" t="str">
        <f>IF(ISBLANK(Data!A40),"",Data!B40)</f>
        <v/>
      </c>
      <c r="B40" t="str">
        <f>IF(ISBLANK(Data!C40),"",Data!C40)</f>
        <v/>
      </c>
      <c r="C40" t="str">
        <f t="shared" si="1"/>
        <v/>
      </c>
    </row>
    <row r="41" spans="1:11" x14ac:dyDescent="0.2">
      <c r="A41" t="str">
        <f>IF(ISBLANK(Data!A41),"",Data!B41)</f>
        <v/>
      </c>
      <c r="B41" t="str">
        <f>IF(ISBLANK(Data!C41),"",Data!C41)</f>
        <v/>
      </c>
    </row>
    <row r="42" spans="1:11" x14ac:dyDescent="0.2">
      <c r="A42" t="str">
        <f>IF(ISBLANK(Data!A42),"",Data!B42)</f>
        <v/>
      </c>
      <c r="B42" t="str">
        <f>IF(ISBLANK(Data!C42),"",Data!C42)</f>
        <v/>
      </c>
    </row>
    <row r="43" spans="1:11" x14ac:dyDescent="0.2">
      <c r="A43" t="str">
        <f>IF(ISBLANK(Data!A43),"",B43)</f>
        <v/>
      </c>
    </row>
    <row r="44" spans="1:11" x14ac:dyDescent="0.2">
      <c r="A44" t="str">
        <f>IF(ISBLANK(Data!A44),"",B44)</f>
        <v/>
      </c>
    </row>
    <row r="45" spans="1:11" x14ac:dyDescent="0.2">
      <c r="A45" t="str">
        <f>IF(ISBLANK(Data!A45),"",B45)</f>
        <v/>
      </c>
    </row>
    <row r="46" spans="1:11" x14ac:dyDescent="0.2">
      <c r="A46" t="str">
        <f>IF(ISBLANK(Data!A46),"",B46)</f>
        <v/>
      </c>
    </row>
    <row r="47" spans="1:11" x14ac:dyDescent="0.2">
      <c r="A47" t="str">
        <f>IF(ISBLANK(Data!A47),"",B47)</f>
        <v/>
      </c>
    </row>
    <row r="48" spans="1:11" x14ac:dyDescent="0.2">
      <c r="A48" t="str">
        <f>IF(ISBLANK(Data!A48),"",B48)</f>
        <v/>
      </c>
    </row>
    <row r="49" spans="1:1" x14ac:dyDescent="0.2">
      <c r="A49" t="str">
        <f>IF(ISBLANK(Data!A49),"",B49)</f>
        <v/>
      </c>
    </row>
    <row r="50" spans="1:1" x14ac:dyDescent="0.2">
      <c r="A50" t="str">
        <f>IF(ISBLANK(Data!A50),"",B50)</f>
        <v/>
      </c>
    </row>
    <row r="51" spans="1:1" x14ac:dyDescent="0.2">
      <c r="A51" t="str">
        <f>IF(ISBLANK(Data!A51),"",B51)</f>
        <v/>
      </c>
    </row>
    <row r="52" spans="1:1" x14ac:dyDescent="0.2">
      <c r="A52" t="str">
        <f>IF(ISBLANK(Data!A52),"",B52)</f>
        <v/>
      </c>
    </row>
    <row r="53" spans="1:1" x14ac:dyDescent="0.2">
      <c r="A53" t="str">
        <f>IF(ISBLANK(Data!A53),"",B53)</f>
        <v/>
      </c>
    </row>
    <row r="54" spans="1:1" x14ac:dyDescent="0.2">
      <c r="A54" t="str">
        <f>IF(ISBLANK(Data!A54),"",B54)</f>
        <v/>
      </c>
    </row>
    <row r="55" spans="1:1" x14ac:dyDescent="0.2">
      <c r="A55" t="str">
        <f>IF(ISBLANK(Data!A55),"",B55)</f>
        <v/>
      </c>
    </row>
    <row r="56" spans="1:1" x14ac:dyDescent="0.2">
      <c r="A56" t="str">
        <f>IF(ISBLANK(Data!A56),"",B56)</f>
        <v/>
      </c>
    </row>
    <row r="57" spans="1:1" x14ac:dyDescent="0.2">
      <c r="A57" t="str">
        <f>IF(ISBLANK(Data!A57),"",B57)</f>
        <v/>
      </c>
    </row>
    <row r="58" spans="1:1" x14ac:dyDescent="0.2">
      <c r="A58" t="str">
        <f>IF(ISBLANK(Data!A58),"",B58)</f>
        <v/>
      </c>
    </row>
    <row r="59" spans="1:1" x14ac:dyDescent="0.2">
      <c r="A59" t="str">
        <f>IF(ISBLANK(Data!A59),"",B59)</f>
        <v/>
      </c>
    </row>
    <row r="60" spans="1:1" x14ac:dyDescent="0.2">
      <c r="A60" t="str">
        <f>IF(ISBLANK(Data!A60),"",B60)</f>
        <v/>
      </c>
    </row>
    <row r="61" spans="1:1" x14ac:dyDescent="0.2">
      <c r="A61" t="str">
        <f>IF(ISBLANK(Data!A61),"",B61)</f>
        <v/>
      </c>
    </row>
    <row r="62" spans="1:1" x14ac:dyDescent="0.2">
      <c r="A62" t="str">
        <f>IF(ISBLANK(Data!A62),"",B62)</f>
        <v/>
      </c>
    </row>
    <row r="63" spans="1:1" x14ac:dyDescent="0.2">
      <c r="A63" t="str">
        <f>IF(ISBLANK(Data!A63),"",B63)</f>
        <v/>
      </c>
    </row>
  </sheetData>
  <sheetProtection algorithmName="SHA-512" hashValue="VefdK4oe08Dqa/h+J4YlbaCGOrxzjuyA0qg4zJSpaO2kE6Tgk8cY8jQ14Lrl0O70FmVjhxA9kjHFVcJqEkmWqQ==" saltValue="IO+uG6VLhGvpkkUKKnc6RA==" spinCount="100000" sheet="1" objects="1" scenarios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Json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2025-07-03T14:01:27Z</dcterms:created>
  <dcterms:modified xsi:type="dcterms:W3CDTF">2025-07-10T15:22:32Z</dcterms:modified>
</cp:coreProperties>
</file>