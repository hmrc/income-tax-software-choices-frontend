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alphs/development/hmrc/income-tax-software-choices-frontend/docs/"/>
    </mc:Choice>
  </mc:AlternateContent>
  <xr:revisionPtr revIDLastSave="0" documentId="13_ncr:1_{3F4568BD-4BE5-D646-A312-79CC1AF39803}" xr6:coauthVersionLast="47" xr6:coauthVersionMax="47" xr10:uidLastSave="{00000000-0000-0000-0000-000000000000}"/>
  <bookViews>
    <workbookView xWindow="-4000" yWindow="-28300" windowWidth="43800" windowHeight="2822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C39" i="2" s="1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B34" i="2"/>
  <c r="C34" i="2" s="1"/>
  <c r="A34" i="2"/>
  <c r="B42" i="2"/>
  <c r="C42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40" i="2"/>
  <c r="C40" i="2" s="1"/>
  <c r="B41" i="2"/>
  <c r="C41" i="2" s="1"/>
  <c r="A26" i="2"/>
  <c r="B26" i="2"/>
  <c r="C26" i="2" s="1"/>
  <c r="B2" i="2"/>
  <c r="B3" i="2"/>
  <c r="B4" i="2"/>
  <c r="B5" i="2"/>
  <c r="B7" i="2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5" i="2"/>
  <c r="C35" i="2" s="1"/>
  <c r="B36" i="2"/>
  <c r="C36" i="2" s="1"/>
  <c r="B37" i="2"/>
  <c r="C37" i="2" s="1"/>
  <c r="B38" i="2"/>
  <c r="C38" i="2" s="1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5" i="2"/>
  <c r="A36" i="2"/>
  <c r="A37" i="2"/>
  <c r="A38" i="2"/>
  <c r="D7" i="2" l="1"/>
  <c r="D3" i="2"/>
  <c r="D2" i="2"/>
  <c r="D5" i="2"/>
  <c r="D4" i="2"/>
  <c r="D1" i="2"/>
  <c r="F1" i="2" l="1"/>
</calcChain>
</file>

<file path=xl/sharedStrings.xml><?xml version="1.0" encoding="utf-8"?>
<sst xmlns="http://schemas.openxmlformats.org/spreadsheetml/2006/main" count="95" uniqueCount="95">
  <si>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</si>
  <si>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</si>
  <si>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</si>
  <si>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</si>
  <si>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</si>
  <si>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</si>
  <si>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</si>
  <si>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</si>
  <si>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</si>
  <si>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</si>
  <si>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</si>
  <si>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</si>
  <si>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</si>
  <si>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</si>
  <si>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</si>
  <si>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</si>
  <si>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</si>
  <si>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</si>
  <si>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</si>
  <si>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</si>
  <si>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</si>
  <si>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</si>
  <si>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</si>
  <si>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</si>
  <si>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</si>
  <si>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</si>
  <si>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</si>
  <si>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</si>
  <si>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</si>
  <si>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</si>
  <si>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</si>
  <si>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</si>
  <si>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</si>
  <si>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</si>
  <si>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</si>
  <si>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</si>
  <si>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</si>
  <si>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</si>
  <si>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</si>
  <si>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</si>
  <si>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</si>
  <si>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</si>
  <si>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</si>
  <si>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</si>
  <si>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</si>
  <si>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</si>
  <si>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</si>
  <si>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</si>
  <si>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</si>
  <si>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</si>
  <si>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</si>
  <si>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</si>
  <si>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</si>
  <si>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</si>
  <si>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</si>
  <si>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</si>
  <si>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</si>
  <si>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</si>
  <si>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</si>
  <si>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</si>
  <si>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</si>
  <si>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</si>
  <si>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</si>
  <si>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</si>
  <si>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</si>
  <si>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</si>
  <si>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</si>
  <si>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</si>
  <si>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</si>
  <si>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</si>
  <si>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</si>
  <si>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</si>
  <si>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</si>
  <si>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</si>
  <si>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</si>
  <si>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</si>
  <si>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</si>
  <si>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</si>
  <si>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</si>
  <si>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</si>
  <si>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</si>
  <si>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</si>
  <si>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</si>
  <si>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</si>
  <si>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</si>
  <si>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</si>
  <si>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Is the vendor product language English?</t>
  </si>
  <si>
    <t>english</t>
  </si>
  <si>
    <t>Is the vendor product Web Browser based?</t>
  </si>
  <si>
    <t>web-browser</t>
  </si>
  <si>
    <t>Does the vendor product support Marriage Allowance?</t>
  </si>
  <si>
    <t>Does the vendor product support Partner Income?</t>
  </si>
  <si>
    <t>partner-income</t>
  </si>
  <si>
    <t>Does the vendor product include support for HMRC Assist?</t>
  </si>
  <si>
    <t>hmrc-assist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</si>
</sst>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  <xf numFmtId="49" fontId="1" fillId="0" borderId="0" xfId="1" applyNumberForma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3"/>
  <sheetViews>
    <sheetView tabSelected="1" zoomScale="140" zoomScaleNormal="140" workbookViewId="0">
      <selection activeCell="B2" sqref="B1:B1048576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6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9"/>
    </row>
    <row r="2" spans="1:3" x14ac:dyDescent="0.2">
      <c r="A2" s="1" t="s">
        <v>36</v>
      </c>
      <c r="B2" s="3" t="s">
        <v>2</v>
      </c>
      <c r="C2" s="10"/>
    </row>
    <row r="3" spans="1:3" x14ac:dyDescent="0.2">
      <c r="A3" s="1" t="s">
        <v>37</v>
      </c>
      <c r="B3" s="3" t="s">
        <v>1</v>
      </c>
      <c r="C3" s="11"/>
    </row>
    <row r="4" spans="1:3" x14ac:dyDescent="0.2">
      <c r="A4" s="1" t="s">
        <v>35</v>
      </c>
      <c r="B4" s="3" t="s">
        <v>3</v>
      </c>
      <c r="C4" s="11"/>
    </row>
    <row r="5" spans="1:3" x14ac:dyDescent="0.2">
      <c r="A5" s="1" t="s">
        <v>38</v>
      </c>
      <c r="B5" s="3" t="s">
        <v>4</v>
      </c>
      <c r="C5" s="11"/>
    </row>
    <row r="6" spans="1:3" x14ac:dyDescent="0.2">
      <c r="B6" s="3" t="s">
        <v>5</v>
      </c>
      <c r="C6" s="7"/>
    </row>
    <row r="7" spans="1:3" x14ac:dyDescent="0.2">
      <c r="A7" s="1" t="s">
        <v>39</v>
      </c>
      <c r="B7" s="1" t="s">
        <v>6</v>
      </c>
      <c r="C7" s="8"/>
    </row>
    <row r="8" spans="1:3" x14ac:dyDescent="0.2">
      <c r="A8" s="1" t="s">
        <v>44</v>
      </c>
      <c r="B8" s="1" t="s">
        <v>7</v>
      </c>
      <c r="C8" s="8"/>
    </row>
    <row r="9" spans="1:3" x14ac:dyDescent="0.2">
      <c r="A9" s="1" t="s">
        <v>45</v>
      </c>
      <c r="B9" s="1" t="s">
        <v>15</v>
      </c>
      <c r="C9" s="8"/>
    </row>
    <row r="10" spans="1:3" x14ac:dyDescent="0.2">
      <c r="A10" s="2" t="s">
        <v>46</v>
      </c>
      <c r="B10" s="1" t="s">
        <v>16</v>
      </c>
      <c r="C10" s="8"/>
    </row>
    <row r="11" spans="1:3" x14ac:dyDescent="0.2">
      <c r="A11" s="1" t="s">
        <v>48</v>
      </c>
      <c r="B11" s="1" t="s">
        <v>17</v>
      </c>
      <c r="C11" s="8"/>
    </row>
    <row r="12" spans="1:3" x14ac:dyDescent="0.2">
      <c r="A12" s="1" t="s">
        <v>47</v>
      </c>
      <c r="B12" s="1" t="s">
        <v>18</v>
      </c>
      <c r="C12" s="8"/>
    </row>
    <row r="13" spans="1:3" x14ac:dyDescent="0.2">
      <c r="A13" s="1" t="s">
        <v>49</v>
      </c>
      <c r="B13" s="1" t="s">
        <v>19</v>
      </c>
      <c r="C13" s="8"/>
    </row>
    <row r="14" spans="1:3" x14ac:dyDescent="0.2">
      <c r="A14" s="1" t="s">
        <v>40</v>
      </c>
      <c r="B14" s="1" t="s">
        <v>24</v>
      </c>
      <c r="C14" s="8"/>
    </row>
    <row r="15" spans="1:3" x14ac:dyDescent="0.2">
      <c r="A15" s="1" t="s">
        <v>41</v>
      </c>
      <c r="B15" s="1" t="s">
        <v>25</v>
      </c>
      <c r="C15" s="8"/>
    </row>
    <row r="16" spans="1:3" x14ac:dyDescent="0.2">
      <c r="A16" s="1" t="s">
        <v>42</v>
      </c>
      <c r="B16" s="1" t="s">
        <v>26</v>
      </c>
      <c r="C16" s="8"/>
    </row>
    <row r="17" spans="1:3" x14ac:dyDescent="0.2">
      <c r="A17" s="1" t="s">
        <v>43</v>
      </c>
      <c r="B17" s="1" t="s">
        <v>27</v>
      </c>
      <c r="C17" s="8"/>
    </row>
    <row r="18" spans="1:3" x14ac:dyDescent="0.2">
      <c r="A18" s="2" t="s">
        <v>50</v>
      </c>
      <c r="B18" s="1" t="s">
        <v>9</v>
      </c>
      <c r="C18" s="8"/>
    </row>
    <row r="19" spans="1:3" x14ac:dyDescent="0.2">
      <c r="A19" s="2" t="s">
        <v>51</v>
      </c>
      <c r="B19" s="1" t="s">
        <v>10</v>
      </c>
      <c r="C19" s="8"/>
    </row>
    <row r="20" spans="1:3" x14ac:dyDescent="0.2">
      <c r="A20" s="2" t="s">
        <v>54</v>
      </c>
      <c r="B20" s="1" t="s">
        <v>55</v>
      </c>
      <c r="C20" s="8"/>
    </row>
    <row r="21" spans="1:3" x14ac:dyDescent="0.2">
      <c r="A21" s="2" t="s">
        <v>52</v>
      </c>
      <c r="B21" s="1" t="s">
        <v>53</v>
      </c>
      <c r="C21" s="8"/>
    </row>
    <row r="22" spans="1:3" x14ac:dyDescent="0.2">
      <c r="A22" s="2" t="s">
        <v>56</v>
      </c>
      <c r="B22" s="1" t="s">
        <v>13</v>
      </c>
      <c r="C22" s="8"/>
    </row>
    <row r="23" spans="1:3" x14ac:dyDescent="0.2">
      <c r="A23" s="2" t="s">
        <v>57</v>
      </c>
      <c r="B23" s="1" t="s">
        <v>14</v>
      </c>
      <c r="C23" s="8"/>
    </row>
    <row r="24" spans="1:3" x14ac:dyDescent="0.2">
      <c r="A24" s="2" t="s">
        <v>58</v>
      </c>
      <c r="B24" s="1" t="s">
        <v>31</v>
      </c>
      <c r="C24" s="8"/>
    </row>
    <row r="25" spans="1:3" x14ac:dyDescent="0.2">
      <c r="A25" s="2" t="s">
        <v>59</v>
      </c>
      <c r="B25" s="1" t="s">
        <v>32</v>
      </c>
      <c r="C25" s="8"/>
    </row>
    <row r="26" spans="1:3" x14ac:dyDescent="0.2">
      <c r="A26" s="1" t="s">
        <v>60</v>
      </c>
      <c r="B26" s="1" t="s">
        <v>8</v>
      </c>
      <c r="C26" s="8"/>
    </row>
    <row r="27" spans="1:3" x14ac:dyDescent="0.2">
      <c r="A27" s="1" t="s">
        <v>61</v>
      </c>
      <c r="B27" s="1" t="s">
        <v>28</v>
      </c>
      <c r="C27" s="8"/>
    </row>
    <row r="28" spans="1:3" x14ac:dyDescent="0.2">
      <c r="A28" s="1" t="s">
        <v>62</v>
      </c>
      <c r="B28" s="1" t="s">
        <v>12</v>
      </c>
      <c r="C28" s="8"/>
    </row>
    <row r="29" spans="1:3" x14ac:dyDescent="0.2">
      <c r="A29" s="1" t="s">
        <v>63</v>
      </c>
      <c r="B29" s="1" t="s">
        <v>30</v>
      </c>
      <c r="C29" s="8"/>
    </row>
    <row r="30" spans="1:3" x14ac:dyDescent="0.2">
      <c r="A30" s="1" t="s">
        <v>64</v>
      </c>
      <c r="B30" s="1" t="s">
        <v>29</v>
      </c>
      <c r="C30" s="8"/>
    </row>
    <row r="31" spans="1:3" x14ac:dyDescent="0.2">
      <c r="A31" s="1" t="s">
        <v>65</v>
      </c>
      <c r="B31" s="1" t="s">
        <v>33</v>
      </c>
      <c r="C31" s="8"/>
    </row>
    <row r="32" spans="1:3" x14ac:dyDescent="0.2">
      <c r="A32" s="1" t="s">
        <v>90</v>
      </c>
      <c r="B32" s="1" t="s">
        <v>11</v>
      </c>
      <c r="C32" s="8"/>
    </row>
    <row r="33" spans="1:3" x14ac:dyDescent="0.2">
      <c r="A33" s="1" t="s">
        <v>91</v>
      </c>
      <c r="B33" s="1" t="s">
        <v>92</v>
      </c>
      <c r="C33" s="8"/>
    </row>
    <row r="34" spans="1:3" x14ac:dyDescent="0.2">
      <c r="A34" s="1" t="s">
        <v>70</v>
      </c>
      <c r="B34" s="1" t="s">
        <v>20</v>
      </c>
      <c r="C34" s="8"/>
    </row>
    <row r="35" spans="1:3" x14ac:dyDescent="0.2">
      <c r="A35" s="1" t="s">
        <v>71</v>
      </c>
      <c r="B35" s="1" t="s">
        <v>21</v>
      </c>
      <c r="C35" s="8"/>
    </row>
    <row r="36" spans="1:3" x14ac:dyDescent="0.2">
      <c r="A36" s="1" t="s">
        <v>72</v>
      </c>
      <c r="B36" s="1" t="s">
        <v>22</v>
      </c>
      <c r="C36" s="8"/>
    </row>
    <row r="37" spans="1:3" x14ac:dyDescent="0.2">
      <c r="A37" s="1" t="s">
        <v>73</v>
      </c>
      <c r="B37" s="1" t="s">
        <v>23</v>
      </c>
      <c r="C37" s="8"/>
    </row>
    <row r="38" spans="1:3" x14ac:dyDescent="0.2">
      <c r="A38" s="1" t="s">
        <v>93</v>
      </c>
      <c r="B38" s="1" t="s">
        <v>94</v>
      </c>
      <c r="C38" s="8"/>
    </row>
    <row r="39" spans="1:3" x14ac:dyDescent="0.2">
      <c r="A39" s="1" t="s">
        <v>66</v>
      </c>
      <c r="B39" s="1" t="s">
        <v>69</v>
      </c>
      <c r="C39" s="8"/>
    </row>
    <row r="40" spans="1:3" x14ac:dyDescent="0.2">
      <c r="A40" s="1" t="s">
        <v>67</v>
      </c>
      <c r="B40" s="1" t="s">
        <v>68</v>
      </c>
      <c r="C40" s="8"/>
    </row>
    <row r="41" spans="1:3" x14ac:dyDescent="0.2">
      <c r="A41" s="1" t="s">
        <v>88</v>
      </c>
      <c r="B41" s="1" t="s">
        <v>89</v>
      </c>
      <c r="C41" s="8"/>
    </row>
    <row r="42" spans="1:3" x14ac:dyDescent="0.2">
      <c r="A42" s="1" t="s">
        <v>74</v>
      </c>
      <c r="B42" s="2" t="s">
        <v>75</v>
      </c>
      <c r="C42" s="8"/>
    </row>
    <row r="43" spans="1:3" x14ac:dyDescent="0.2">
      <c r="A43" s="1" t="s">
        <v>76</v>
      </c>
      <c r="B43" s="1" t="s">
        <v>77</v>
      </c>
      <c r="C43" s="8"/>
    </row>
    <row r="44" spans="1:3" x14ac:dyDescent="0.2">
      <c r="A44" s="1" t="s">
        <v>79</v>
      </c>
      <c r="B44" s="1" t="s">
        <v>78</v>
      </c>
      <c r="C44" s="8"/>
    </row>
    <row r="45" spans="1:3" x14ac:dyDescent="0.2">
      <c r="A45" s="2" t="s">
        <v>80</v>
      </c>
      <c r="B45" s="1" t="s">
        <v>81</v>
      </c>
      <c r="C45" s="8"/>
    </row>
    <row r="46" spans="1:3" x14ac:dyDescent="0.2">
      <c r="A46" s="2" t="s">
        <v>82</v>
      </c>
      <c r="B46" s="1" t="s">
        <v>84</v>
      </c>
      <c r="C46" s="8"/>
    </row>
    <row r="47" spans="1:3" x14ac:dyDescent="0.2">
      <c r="A47" s="2" t="s">
        <v>83</v>
      </c>
      <c r="B47" s="1" t="s">
        <v>85</v>
      </c>
      <c r="C47" s="8"/>
    </row>
    <row r="48" spans="1:3" x14ac:dyDescent="0.2">
      <c r="A48" s="2" t="s">
        <v>86</v>
      </c>
      <c r="B48" s="1" t="s">
        <v>87</v>
      </c>
      <c r="C48" s="8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62" spans="2:2" x14ac:dyDescent="0.2">
      <c r="B62" s="2"/>
    </row>
    <row r="63" spans="2:2" x14ac:dyDescent="0.2">
      <c r="B63" s="2"/>
    </row>
  </sheetData>
  <sheetProtection algorithmName="SHA-512" hashValue="/38saKSPVsqbjM1vcq/PzU9no6DZ1oPG8YpX7jT02kQfZLw295K9wBJtD0sF44kVBbQ7adnehTWBfDdvBZ8yPg==" saltValue="TcjsA3ANesBh+UVcop8j2g==" spinCount="100000" sheet="1" objects="1" scenarios="1"/>
  <dataConsolidate/>
  <conditionalFormatting sqref="C1:C5 C7:C48">
    <cfRule type="containsBlanks" dxfId="0" priority="1">
      <formula>LEN(TRIM(C1))=0</formula>
    </cfRule>
  </conditionalFormatting>
  <dataValidations count="3">
    <dataValidation type="custom" allowBlank="1" showInputMessage="1" showErrorMessage="1" errorTitle="Starts with https" error="The vendor url must start with https://" sqref="C4" xr:uid="{0FA46C2B-67DA-9846-9B76-95EBF4867494}">
      <formula1>COUNTIF(C4,"https://*")</formula1>
    </dataValidation>
    <dataValidation type="list" allowBlank="1" showInputMessage="1" showErrorMessage="1" errorTitle="Invalid Selection" error="Please select from the drop down only" sqref="C7:C14 C16:C17 C34:C48" xr:uid="{6FB37E96-4A1B-9C4C-9E00-9DE796E15749}">
      <formula1>"Available,N/A"</formula1>
    </dataValidation>
    <dataValidation type="list" allowBlank="1" showInputMessage="1" showErrorMessage="1" errorTitle="Invalid Selection" error="Please select from the drop down list only" sqref="C15 C18:C33" xr:uid="{BD4DCBFB-A12C-3540-9390-3B9360268C34}">
      <formula1>"Available,Intended,N/A"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3"/>
  <sheetViews>
    <sheetView topLeftCell="F1" zoomScale="157" zoomScaleNormal="157" workbookViewId="0">
      <selection sqref="A1:E1048576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 t="shared" ref="D1:D5" si="0">CONCATENATE(CONCATENATE("""",A1,""""), ": ", CONCATENATE("""",B1,""""))</f>
        <v>"name": ""</v>
      </c>
      <c r="F1" s="5" t="str">
        <f>CONCATENATE("{",_xlfn.TEXTJOIN(",",TRUE,D1:D38),"}")</f>
        <v>{"name": "","phone": "","email": "","website": "","accessibilityStatementLink": "","filters": {}}</v>
      </c>
      <c r="G1" s="4"/>
      <c r="H1" s="4"/>
      <c r="I1" s="4"/>
      <c r="J1" s="4"/>
      <c r="K1" s="4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 t="shared" si="0"/>
        <v>"phone": ""</v>
      </c>
      <c r="F2" s="4"/>
      <c r="G2" s="4"/>
      <c r="H2" s="4"/>
      <c r="I2" s="4"/>
      <c r="J2" s="4"/>
      <c r="K2" s="4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 t="shared" si="0"/>
        <v>"email": ""</v>
      </c>
      <c r="F3" s="4"/>
      <c r="G3" s="4"/>
      <c r="H3" s="4"/>
      <c r="I3" s="4"/>
      <c r="J3" s="4"/>
      <c r="K3" s="4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 t="shared" si="0"/>
        <v>"website": ""</v>
      </c>
      <c r="F4" s="4"/>
      <c r="G4" s="4"/>
      <c r="H4" s="4"/>
      <c r="I4" s="4"/>
      <c r="J4" s="4"/>
      <c r="K4" s="4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 t="shared" si="0"/>
        <v>"accessibilityStatementLink": ""</v>
      </c>
      <c r="F5" s="4"/>
      <c r="G5" s="4"/>
      <c r="H5" s="4"/>
      <c r="I5" s="4"/>
      <c r="J5" s="4"/>
      <c r="K5" s="4"/>
    </row>
    <row r="6" spans="1:11" x14ac:dyDescent="0.2">
      <c r="F6" s="4"/>
      <c r="G6" s="4"/>
      <c r="H6" s="4"/>
      <c r="I6" s="4"/>
      <c r="J6" s="4"/>
      <c r="K6" s="4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{", _xlfn.TEXTJOIN(",",TRUE,C8:C63),"}")</f>
        <v>"filters": {}</v>
      </c>
      <c r="F7" s="4"/>
      <c r="G7" s="4"/>
      <c r="H7" s="4"/>
      <c r="I7" s="4"/>
      <c r="J7" s="4"/>
      <c r="K7" s="4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IF(OR(B8="Available",B8="Intended"),CONCATENATE("""",A8,"""",": ","""",B8,""""),"")</f>
        <v/>
      </c>
      <c r="F8" s="4"/>
      <c r="G8" s="4"/>
      <c r="H8" s="4"/>
      <c r="I8" s="4"/>
      <c r="J8" s="4"/>
      <c r="K8" s="4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63" si="1">IF(OR(B9="Available",B9="Intended"),CONCATENATE("""",A9,"""",": ","""",B9,""""),"")</f>
        <v/>
      </c>
      <c r="F9" s="4"/>
      <c r="G9" s="4"/>
      <c r="H9" s="4"/>
      <c r="I9" s="4"/>
      <c r="J9" s="4"/>
      <c r="K9" s="4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1"/>
        <v/>
      </c>
      <c r="F10" s="4"/>
      <c r="G10" s="4"/>
      <c r="H10" s="4"/>
      <c r="I10" s="4"/>
      <c r="J10" s="4"/>
      <c r="K10" s="4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1"/>
        <v/>
      </c>
      <c r="F11" s="4"/>
      <c r="G11" s="4"/>
      <c r="H11" s="4"/>
      <c r="I11" s="4"/>
      <c r="J11" s="4"/>
      <c r="K11" s="4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1"/>
        <v/>
      </c>
      <c r="F12" s="4"/>
      <c r="G12" s="4"/>
      <c r="H12" s="4"/>
      <c r="I12" s="4"/>
      <c r="J12" s="4"/>
      <c r="K12" s="4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1"/>
        <v/>
      </c>
      <c r="F13" s="4"/>
      <c r="G13" s="4"/>
      <c r="H13" s="4"/>
      <c r="I13" s="4"/>
      <c r="J13" s="4"/>
      <c r="K13" s="4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1"/>
        <v/>
      </c>
      <c r="F14" s="4"/>
      <c r="G14" s="4"/>
      <c r="H14" s="4"/>
      <c r="I14" s="4"/>
      <c r="J14" s="4"/>
      <c r="K14" s="4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1"/>
        <v/>
      </c>
      <c r="F15" s="4"/>
      <c r="G15" s="4"/>
      <c r="H15" s="4"/>
      <c r="I15" s="4"/>
      <c r="J15" s="4"/>
      <c r="K15" s="4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1"/>
        <v/>
      </c>
      <c r="F16" s="4"/>
      <c r="G16" s="4"/>
      <c r="H16" s="4"/>
      <c r="I16" s="4"/>
      <c r="J16" s="4"/>
      <c r="K16" s="4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1"/>
        <v/>
      </c>
      <c r="F17" s="4"/>
      <c r="G17" s="4"/>
      <c r="H17" s="4"/>
      <c r="I17" s="4"/>
      <c r="J17" s="4"/>
      <c r="K17" s="4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1"/>
        <v/>
      </c>
      <c r="F18" s="4"/>
      <c r="G18" s="4"/>
      <c r="H18" s="4"/>
      <c r="I18" s="4"/>
      <c r="J18" s="4"/>
      <c r="K18" s="4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1"/>
        <v/>
      </c>
      <c r="F19" s="4"/>
      <c r="G19" s="4"/>
      <c r="H19" s="4"/>
      <c r="I19" s="4"/>
      <c r="J19" s="4"/>
      <c r="K19" s="4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1"/>
        <v/>
      </c>
      <c r="F20" s="4"/>
      <c r="G20" s="4"/>
      <c r="H20" s="4"/>
      <c r="I20" s="4"/>
      <c r="J20" s="4"/>
      <c r="K20" s="4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1"/>
        <v/>
      </c>
      <c r="F21" s="4"/>
      <c r="G21" s="4"/>
      <c r="H21" s="4"/>
      <c r="I21" s="4"/>
      <c r="J21" s="4"/>
      <c r="K21" s="4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1"/>
        <v/>
      </c>
      <c r="F22" s="4"/>
      <c r="G22" s="4"/>
      <c r="H22" s="4"/>
      <c r="I22" s="4"/>
      <c r="J22" s="4"/>
      <c r="K22" s="4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1"/>
        <v/>
      </c>
      <c r="F23" s="4"/>
      <c r="G23" s="4"/>
      <c r="H23" s="4"/>
      <c r="I23" s="4"/>
      <c r="J23" s="4"/>
      <c r="K23" s="4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1"/>
        <v/>
      </c>
      <c r="F24" s="4"/>
      <c r="G24" s="4"/>
      <c r="H24" s="4"/>
      <c r="I24" s="4"/>
      <c r="J24" s="4"/>
      <c r="K24" s="4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1"/>
        <v/>
      </c>
      <c r="F25" s="4"/>
      <c r="G25" s="4"/>
      <c r="H25" s="4"/>
      <c r="I25" s="4"/>
      <c r="J25" s="4"/>
      <c r="K25" s="4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1"/>
        <v/>
      </c>
      <c r="F26" s="4"/>
      <c r="G26" s="4"/>
      <c r="H26" s="4"/>
      <c r="I26" s="4"/>
      <c r="J26" s="4"/>
      <c r="K26" s="4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1"/>
        <v/>
      </c>
      <c r="F27" s="4"/>
      <c r="G27" s="4"/>
      <c r="H27" s="4"/>
      <c r="I27" s="4"/>
      <c r="J27" s="4"/>
      <c r="K27" s="4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1"/>
        <v/>
      </c>
      <c r="F28" s="4"/>
      <c r="G28" s="4"/>
      <c r="H28" s="4"/>
      <c r="I28" s="4"/>
      <c r="J28" s="4"/>
      <c r="K28" s="4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1"/>
        <v/>
      </c>
      <c r="F29" s="4"/>
      <c r="G29" s="4"/>
      <c r="H29" s="4"/>
      <c r="I29" s="4"/>
      <c r="J29" s="4"/>
      <c r="K29" s="4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1"/>
        <v/>
      </c>
      <c r="F30" s="4"/>
      <c r="G30" s="4"/>
      <c r="H30" s="4"/>
      <c r="I30" s="4"/>
      <c r="J30" s="4"/>
      <c r="K30" s="4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1"/>
        <v/>
      </c>
      <c r="F31" s="4"/>
      <c r="G31" s="4"/>
      <c r="H31" s="4"/>
      <c r="I31" s="4"/>
      <c r="J31" s="4"/>
      <c r="K31" s="4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1"/>
        <v/>
      </c>
      <c r="F32" s="4"/>
      <c r="G32" s="4"/>
      <c r="H32" s="4"/>
      <c r="I32" s="4"/>
      <c r="J32" s="4"/>
      <c r="K32" s="4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1"/>
        <v/>
      </c>
      <c r="F33" s="4"/>
      <c r="G33" s="4"/>
      <c r="H33" s="4"/>
      <c r="I33" s="4"/>
      <c r="J33" s="4"/>
      <c r="K33" s="4"/>
    </row>
    <row r="34" spans="1:11" x14ac:dyDescent="0.2">
      <c r="A34" t="str">
        <f>IF(ISBLANK(Data!A33),"",Data!B33)</f>
        <v>partner-income</v>
      </c>
      <c r="B34" t="str">
        <f>IF(ISBLANK(Data!C33),"",Data!C33)</f>
        <v/>
      </c>
      <c r="C34" t="str">
        <f t="shared" si="1"/>
        <v/>
      </c>
      <c r="F34" s="4"/>
      <c r="G34" s="4"/>
      <c r="H34" s="4"/>
      <c r="I34" s="4"/>
      <c r="J34" s="4"/>
      <c r="K34" s="4"/>
    </row>
    <row r="35" spans="1:11" x14ac:dyDescent="0.2">
      <c r="A35" t="str">
        <f>IF(ISBLANK(Data!A34),"",Data!B34)</f>
        <v>visual</v>
      </c>
      <c r="B35" t="str">
        <f>IF(ISBLANK(Data!C34),"",Data!C34)</f>
        <v/>
      </c>
      <c r="C35" t="str">
        <f t="shared" si="1"/>
        <v/>
      </c>
      <c r="F35" s="4"/>
      <c r="G35" s="4"/>
      <c r="H35" s="4"/>
      <c r="I35" s="4"/>
      <c r="J35" s="4"/>
      <c r="K35" s="4"/>
    </row>
    <row r="36" spans="1:11" x14ac:dyDescent="0.2">
      <c r="A36" t="str">
        <f>IF(ISBLANK(Data!A35),"",Data!B35)</f>
        <v>hearing</v>
      </c>
      <c r="B36" t="str">
        <f>IF(ISBLANK(Data!C35),"",Data!C35)</f>
        <v/>
      </c>
      <c r="C36" t="str">
        <f t="shared" si="1"/>
        <v/>
      </c>
      <c r="F36" s="4"/>
      <c r="G36" s="4"/>
      <c r="H36" s="4"/>
      <c r="I36" s="4"/>
      <c r="J36" s="4"/>
      <c r="K36" s="4"/>
    </row>
    <row r="37" spans="1:11" x14ac:dyDescent="0.2">
      <c r="A37" t="str">
        <f>IF(ISBLANK(Data!A36),"",Data!B36)</f>
        <v>motor</v>
      </c>
      <c r="B37" t="str">
        <f>IF(ISBLANK(Data!C36),"",Data!C36)</f>
        <v/>
      </c>
      <c r="C37" t="str">
        <f t="shared" si="1"/>
        <v/>
      </c>
      <c r="F37" s="4"/>
      <c r="G37" s="4"/>
      <c r="H37" s="4"/>
      <c r="I37" s="4"/>
      <c r="J37" s="4"/>
      <c r="K37" s="4"/>
    </row>
    <row r="38" spans="1:11" x14ac:dyDescent="0.2">
      <c r="A38" t="str">
        <f>IF(ISBLANK(Data!A37),"",Data!B37)</f>
        <v>cognitive</v>
      </c>
      <c r="B38" t="str">
        <f>IF(ISBLANK(Data!C37),"",Data!C37)</f>
        <v/>
      </c>
      <c r="C38" t="str">
        <f t="shared" si="1"/>
        <v/>
      </c>
      <c r="F38" s="4"/>
      <c r="G38" s="4"/>
      <c r="H38" s="4"/>
      <c r="I38" s="4"/>
      <c r="J38" s="4"/>
      <c r="K38" s="4"/>
    </row>
    <row r="39" spans="1:11" x14ac:dyDescent="0.2">
      <c r="A39" t="str">
        <f>IF(ISBLANK(Data!A38),"",Data!B38)</f>
        <v>hmrc-assist</v>
      </c>
      <c r="B39" t="str">
        <f>IF(ISBLANK(Data!C38),"",Data!C38)</f>
        <v/>
      </c>
      <c r="C39" t="str">
        <f t="shared" si="1"/>
        <v/>
      </c>
      <c r="F39" s="4"/>
      <c r="G39" s="4"/>
      <c r="H39" s="4"/>
      <c r="I39" s="4"/>
      <c r="J39" s="4"/>
      <c r="K39" s="4"/>
    </row>
    <row r="40" spans="1:11" x14ac:dyDescent="0.2">
      <c r="A40" t="str">
        <f>IF(ISBLANK(Data!A39),"",Data!B39)</f>
        <v>individual</v>
      </c>
      <c r="B40" t="str">
        <f>IF(ISBLANK(Data!C39),"",Data!C39)</f>
        <v/>
      </c>
      <c r="C40" t="str">
        <f t="shared" si="1"/>
        <v/>
      </c>
      <c r="F40" s="4"/>
      <c r="G40" s="4"/>
      <c r="H40" s="4"/>
      <c r="I40" s="4"/>
      <c r="J40" s="4"/>
      <c r="K40" s="4"/>
    </row>
    <row r="41" spans="1:11" x14ac:dyDescent="0.2">
      <c r="A41" t="str">
        <f>IF(ISBLANK(Data!A40),"",Data!B40)</f>
        <v>agent</v>
      </c>
      <c r="B41" t="str">
        <f>IF(ISBLANK(Data!C40),"",Data!C40)</f>
        <v/>
      </c>
      <c r="C41" t="str">
        <f t="shared" si="1"/>
        <v/>
      </c>
      <c r="F41" s="4"/>
      <c r="G41" s="4"/>
      <c r="H41" s="4"/>
      <c r="I41" s="4"/>
      <c r="J41" s="4"/>
      <c r="K41" s="4"/>
    </row>
    <row r="42" spans="1:11" x14ac:dyDescent="0.2">
      <c r="A42" t="str">
        <f>IF(ISBLANK(Data!A41),"",Data!B41)</f>
        <v>web-browser</v>
      </c>
      <c r="B42" t="str">
        <f>IF(ISBLANK(Data!C41),"",Data!C41)</f>
        <v/>
      </c>
      <c r="C42" t="str">
        <f t="shared" si="1"/>
        <v/>
      </c>
      <c r="F42" s="4"/>
      <c r="G42" s="4"/>
      <c r="H42" s="4"/>
      <c r="I42" s="4"/>
      <c r="J42" s="4"/>
      <c r="K42" s="4"/>
    </row>
    <row r="43" spans="1:11" x14ac:dyDescent="0.2">
      <c r="A43" t="str">
        <f>IF(ISBLANK(Data!A42),"",Data!B42)</f>
        <v>desktop-based</v>
      </c>
      <c r="B43" t="str">
        <f>IF(ISBLANK(Data!C42),"",Data!C42)</f>
        <v/>
      </c>
      <c r="C43" t="str">
        <f t="shared" si="1"/>
        <v/>
      </c>
    </row>
    <row r="44" spans="1:11" x14ac:dyDescent="0.2">
      <c r="A44" t="str">
        <f>IF(ISBLANK(Data!A43),"",Data!B43)</f>
        <v>microsoft-windows</v>
      </c>
      <c r="B44" t="str">
        <f>IF(ISBLANK(Data!C43),"",Data!C43)</f>
        <v/>
      </c>
      <c r="C44" t="str">
        <f t="shared" si="1"/>
        <v/>
      </c>
    </row>
    <row r="45" spans="1:11" x14ac:dyDescent="0.2">
      <c r="A45" t="str">
        <f>IF(ISBLANK(Data!A44),"",Data!B44)</f>
        <v>mac-os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linux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>android</v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>apple-ios</v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>english</v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/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/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  <row r="61" spans="1:3" x14ac:dyDescent="0.2">
      <c r="A61" t="str">
        <f>IF(ISBLANK(Data!A60),"",Data!B60)</f>
        <v/>
      </c>
      <c r="B61" t="str">
        <f>IF(ISBLANK(Data!C60),"",Data!C60)</f>
        <v/>
      </c>
      <c r="C61" t="str">
        <f t="shared" si="1"/>
        <v/>
      </c>
    </row>
    <row r="62" spans="1:3" x14ac:dyDescent="0.2">
      <c r="A62" t="str">
        <f>IF(ISBLANK(Data!A61),"",Data!B61)</f>
        <v/>
      </c>
      <c r="B62" t="str">
        <f>IF(ISBLANK(Data!C61),"",Data!C61)</f>
        <v/>
      </c>
      <c r="C62" t="str">
        <f t="shared" si="1"/>
        <v/>
      </c>
    </row>
    <row r="63" spans="1:3" x14ac:dyDescent="0.2">
      <c r="A63" t="str">
        <f>IF(ISBLANK(Data!A62),"",Data!B62)</f>
        <v/>
      </c>
      <c r="B63" t="str">
        <f>IF(ISBLANK(Data!C62),"",Data!C62)</f>
        <v/>
      </c>
      <c r="C63" t="str">
        <f t="shared" si="1"/>
        <v/>
      </c>
    </row>
  </sheetData>
  <sheetProtection algorithmName="SHA-512" hashValue="0z7bKBDqovhw8Z19Fl/VV/V342Hp0ZVGxXFBJDRON4mz3X2OGOgqU87hjBbaYipSRONIuUUv69jmAwW817tXvA==" saltValue="iIJBDQdF/8O2aMz6VWMz6Q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2026-02-12T12:32:57Z</dcterms:modified>
</cp:coreProperties>
</file>